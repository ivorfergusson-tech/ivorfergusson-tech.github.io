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Methodology" sheetId="2" state="visible" r:id="rId2"/>
    <sheet xmlns:r="http://schemas.openxmlformats.org/officeDocument/2006/relationships" name="Carbon Factors" sheetId="3" state="visible" r:id="rId3"/>
    <sheet xmlns:r="http://schemas.openxmlformats.org/officeDocument/2006/relationships" name="Calculator" sheetId="4" state="visible" r:id="rId4"/>
    <sheet xmlns:r="http://schemas.openxmlformats.org/officeDocument/2006/relationships" name="Summary"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3B57"/>
      <sz val="16"/>
    </font>
    <font>
      <i val="1"/>
      <color rgb="00555555"/>
      <sz val="10"/>
    </font>
    <font>
      <b val="1"/>
      <color rgb="001F3B57"/>
      <sz val="12"/>
    </font>
    <font>
      <b val="1"/>
      <color rgb="00FFFFFF"/>
      <sz val="11"/>
    </font>
    <font>
      <b val="1"/>
    </font>
    <font>
      <i val="1"/>
      <color rgb="00777777"/>
      <sz val="9"/>
    </font>
    <font>
      <i val="1"/>
    </font>
    <font>
      <b val="1"/>
      <color rgb="001F3B57"/>
      <sz val="14"/>
    </font>
    <font>
      <b val="1"/>
      <color rgb="00B35B00"/>
    </font>
  </fonts>
  <fills count="6">
    <fill>
      <patternFill/>
    </fill>
    <fill>
      <patternFill patternType="gray125"/>
    </fill>
    <fill>
      <patternFill patternType="solid">
        <fgColor rgb="001F3B57"/>
        <bgColor rgb="001F3B57"/>
      </patternFill>
    </fill>
    <fill>
      <patternFill patternType="solid">
        <fgColor rgb="00FFF6DD"/>
        <bgColor rgb="00FFF6DD"/>
      </patternFill>
    </fill>
    <fill>
      <patternFill patternType="solid">
        <fgColor rgb="00E8EEF4"/>
        <bgColor rgb="00E8EEF4"/>
      </patternFill>
    </fill>
    <fill>
      <patternFill patternType="solid">
        <fgColor rgb="00FBEFE0"/>
        <bgColor rgb="00FBEFE0"/>
      </patternFill>
    </fill>
  </fills>
  <borders count="3">
    <border>
      <left/>
      <right/>
      <top/>
      <bottom/>
      <diagonal/>
    </border>
    <border>
      <bottom style="thin">
        <color rgb="00D9D9D9"/>
      </bottom>
    </border>
    <border>
      <left style="thin">
        <color rgb="00C9A227"/>
      </left>
      <right style="thin">
        <color rgb="00C9A227"/>
      </right>
      <top style="thin">
        <color rgb="00C9A227"/>
      </top>
      <bottom style="thin">
        <color rgb="00C9A227"/>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left" vertical="center" wrapText="1"/>
    </xf>
    <xf numFmtId="0" fontId="0" fillId="0" borderId="1" applyAlignment="1" pivotButton="0" quotePrefix="0" xfId="0">
      <alignment horizontal="left" vertical="top" wrapText="1"/>
    </xf>
    <xf numFmtId="0" fontId="0" fillId="0" borderId="1" pivotButton="0" quotePrefix="0" xfId="0"/>
    <xf numFmtId="9" fontId="0" fillId="0" borderId="1" pivotButton="0" quotePrefix="0" xfId="0"/>
    <xf numFmtId="0" fontId="5" fillId="0" borderId="0" pivotButton="0" quotePrefix="0" xfId="0"/>
    <xf numFmtId="0" fontId="0" fillId="3" borderId="2" pivotButton="0" quotePrefix="0" xfId="0"/>
    <xf numFmtId="9" fontId="0" fillId="3" borderId="2" pivotButton="0" quotePrefix="0" xfId="0"/>
    <xf numFmtId="0" fontId="6" fillId="0" borderId="0" pivotButton="0" quotePrefix="0" xfId="0"/>
    <xf numFmtId="0" fontId="6" fillId="0" borderId="0" applyAlignment="1" pivotButton="0" quotePrefix="0" xfId="0">
      <alignment horizontal="left" vertical="top" wrapText="1"/>
    </xf>
    <xf numFmtId="0" fontId="5" fillId="4" borderId="0" pivotButton="0" quotePrefix="0" xfId="0"/>
    <xf numFmtId="0" fontId="0" fillId="4" borderId="0" pivotButton="0" quotePrefix="0" xfId="0"/>
    <xf numFmtId="0" fontId="3" fillId="0" borderId="0" pivotButton="0" quotePrefix="0" xfId="0"/>
    <xf numFmtId="0" fontId="0" fillId="5" borderId="1" applyAlignment="1" pivotButton="0" quotePrefix="0" xfId="0">
      <alignment horizontal="left" vertical="top" wrapText="1"/>
    </xf>
    <xf numFmtId="0" fontId="0" fillId="5" borderId="1" pivotButton="0" quotePrefix="0" xfId="0"/>
    <xf numFmtId="0" fontId="7" fillId="0" borderId="0" pivotButton="0" quotePrefix="0" xfId="0"/>
    <xf numFmtId="0" fontId="8" fillId="0" borderId="0" pivotButton="0" quotePrefix="0" xfId="0"/>
    <xf numFmtId="0" fontId="0" fillId="0" borderId="0" applyAlignment="1" pivotButton="0" quotePrefix="0" xfId="0">
      <alignment horizontal="left" vertical="top" wrapText="1"/>
    </xf>
    <xf numFmtId="0" fontId="9"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Embodied carbon by building element (tCO2e, A1-A5)</a:t>
            </a:r>
          </a:p>
        </rich>
      </tx>
    </title>
    <plotArea>
      <barChart>
        <barDir val="col"/>
        <grouping val="clustered"/>
        <ser>
          <idx val="0"/>
          <order val="0"/>
          <tx>
            <strRef>
              <f>'Summary'!B11</f>
            </strRef>
          </tx>
          <spPr>
            <a:ln xmlns:a="http://schemas.openxmlformats.org/drawingml/2006/main">
              <a:prstDash val="solid"/>
            </a:ln>
          </spPr>
          <cat>
            <numRef>
              <f>'Summary'!$A$12:$A$19</f>
            </numRef>
          </cat>
          <val>
            <numRef>
              <f>'Summary'!$B$12:$B$19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Element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tCO2e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3</row>
      <rowOff>0</rowOff>
    </from>
    <ext cx="86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30" customWidth="1" min="1" max="1"/>
  </cols>
  <sheetData>
    <row r="1">
      <c r="A1" s="1" t="inlineStr">
        <is>
          <t>Embodied Carbon Calculator</t>
        </is>
      </c>
    </row>
    <row r="2">
      <c r="A2" s="2" t="inlineStr">
        <is>
          <t>Reusable template, pre-filled with a worked example</t>
        </is>
      </c>
    </row>
    <row r="3">
      <c r="A3" s="3" t="inlineStr"/>
    </row>
    <row r="4">
      <c r="A4" s="4" t="inlineStr">
        <is>
          <t>What this is</t>
        </is>
      </c>
    </row>
    <row r="5">
      <c r="A5" s="3" t="inlineStr">
        <is>
          <t>- Estimates the embodied carbon (A1-A3 material + A4 transport + A5 construction) of the main structural/envelope materials for a construction project.</t>
        </is>
      </c>
    </row>
    <row r="6">
      <c r="A6" s="3" t="inlineStr">
        <is>
          <t>- Every total in the 'Calculator' tab is a live formula, not a typed-in number. Click any cell in columns E-M to see exactly how it was calculated and where the factor came from.</t>
        </is>
      </c>
    </row>
    <row r="7">
      <c r="A7" s="3" t="inlineStr"/>
    </row>
    <row r="8">
      <c r="A8" s="4" t="inlineStr">
        <is>
          <t>Using it for a DIFFERENT project</t>
        </is>
      </c>
    </row>
    <row r="9">
      <c r="A9" s="3" t="inlineStr">
        <is>
          <t>- The Calculator tab has 8 pre-filled rows (the worked example) followed by 15 blank template rows with the same live formulas already in place.</t>
        </is>
      </c>
    </row>
    <row r="10">
      <c r="A10" s="3" t="inlineStr">
        <is>
          <t>- To model a new project: clear the Element/Quantity/Unit cells you don't need, or use the blank rows below. Pick the Material from the dropdown list (so it always matches the Carbon Factors tab exactly) and type the Unit as either 'm3' or 'kg'.</t>
        </is>
      </c>
    </row>
    <row r="11">
      <c r="A11" s="3" t="inlineStr">
        <is>
          <t>- Update the project assumptions at the top of the Calculator tab (project name, transport distance, A5 allowance) for the new project.</t>
        </is>
      </c>
    </row>
    <row r="12">
      <c r="A12" s="3" t="inlineStr">
        <is>
          <t>- Need more than 23 rows? Select a row inside the block, copy it, and insert/paste extra rows -- the formulas use fixed references to the Carbon Factors and assumption cells, so they copy down correctly.</t>
        </is>
      </c>
    </row>
    <row r="13">
      <c r="A13" s="3" t="inlineStr">
        <is>
          <t>- If you add new materials, add them to the 'Carbon Factors' tab first (with a density if it's a volume-based material) so the dropdown and VLOOKUPs pick them up.</t>
        </is>
      </c>
    </row>
    <row r="14">
      <c r="A14" s="3" t="inlineStr"/>
    </row>
    <row r="15">
      <c r="A15" s="4" t="inlineStr">
        <is>
          <t>Tabs in this workbook</t>
        </is>
      </c>
    </row>
    <row r="16">
      <c r="A16" s="3" t="inlineStr">
        <is>
          <t>- Methodology: plain-English explanation of what embodied carbon means, the formula used, and the scope/limitations of this estimate.</t>
        </is>
      </c>
    </row>
    <row r="17">
      <c r="A17" s="3" t="inlineStr">
        <is>
          <t>- Carbon Factors: the reference table of material carbon factors and waste allowances, with sources.</t>
        </is>
      </c>
    </row>
    <row r="18">
      <c r="A18" s="3" t="inlineStr">
        <is>
          <t>- Calculator: the reusable worked example.</t>
        </is>
      </c>
    </row>
    <row r="19">
      <c r="A19" s="3" t="inlineStr">
        <is>
          <t>- Summary: total result and a chart breaking it down by building element (worked example).</t>
        </is>
      </c>
    </row>
    <row r="20">
      <c r="A20" s="3" t="inlineStr"/>
    </row>
    <row r="21">
      <c r="A21" s="4" t="inlineStr">
        <is>
          <t>Top-line caveat</t>
        </is>
      </c>
    </row>
    <row r="22">
      <c r="A22" s="3" t="inlineStr">
        <is>
          <t>- The factors in this workbook are illustrative, representative figures based on the ICE Database (University of Bath / Circular Ecology) and UK Government transport conversion factors. For a real project, check current product-specific Environmental Product Declarations (EPDs) or the live ICE Database (v4.1) rather than relying on these numbers.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30" customWidth="1" min="1" max="1"/>
  </cols>
  <sheetData>
    <row r="1">
      <c r="A1" s="1" t="inlineStr">
        <is>
          <t>Methodology</t>
        </is>
      </c>
    </row>
    <row r="2">
      <c r="A2" s="2" t="inlineStr">
        <is>
          <t>How the numbers in this workbook are worked out</t>
        </is>
      </c>
    </row>
    <row r="3">
      <c r="A3" s="3" t="inlineStr"/>
    </row>
    <row r="4">
      <c r="A4" s="4" t="inlineStr">
        <is>
          <t>1. Embodied carbon vs operational carbon</t>
        </is>
      </c>
    </row>
    <row r="5">
      <c r="A5" s="3" t="inlineStr">
        <is>
          <t>- Operational carbon is the CO2e a building produces while it's in use (heating, lighting, etc). Embodied carbon is the CO2e released making, transporting and building it in the first place - before anyone even moves in. This workbook only covers embodied carbon.</t>
        </is>
      </c>
    </row>
    <row r="6">
      <c r="A6" s="3" t="inlineStr"/>
    </row>
    <row r="7">
      <c r="A7" s="4" t="inlineStr">
        <is>
          <t>2. The calculation</t>
        </is>
      </c>
    </row>
    <row r="8">
      <c r="A8" s="3" t="inlineStr">
        <is>
          <t>- Mass incl. waste (kg) = Quantity x Density (for volume-based materials, e.g. concrete in m3) or just Quantity (for materials already taken off by mass, e.g. kg of steel) x (1 + Waste allowance %).</t>
        </is>
      </c>
    </row>
    <row r="9">
      <c r="A9" s="3" t="inlineStr">
        <is>
          <t>- A1-A3 Carbon (kgCO2e) = Mass incl. waste x A1-A3 Carbon Factor.</t>
        </is>
      </c>
    </row>
    <row r="10">
      <c r="A10" s="3" t="inlineStr">
        <is>
          <t>- A4 Transport Carbon (kgCO2e) = Mass (tonnes) x Transport distance (km) x Transport emission factor (kgCO2e per tonne.km).</t>
        </is>
      </c>
    </row>
    <row r="11">
      <c r="A11" s="3" t="inlineStr">
        <is>
          <t>- A5 Construction Carbon (kgCO2e) = (A1-A3 + A4) x A5 allowance % - a default percentage uplift for on-site plant/energy use, used because granular construction-phase data isn't normally available at this stage (this is a recognised simplification - RICS whole life carbon guidance permits default assumptions for A5 when project-specific data is missing).</t>
        </is>
      </c>
    </row>
    <row r="12">
      <c r="A12" s="3" t="inlineStr">
        <is>
          <t>- Total Carbon = A1-A3 + A4 + A5. Every one of these is a live formula in the 'Calculator' tab, referencing the 'Carbon Factors' tab and the project assumption cells at the top of the sheet - nothing is pasted in as a static number.</t>
        </is>
      </c>
    </row>
    <row r="13">
      <c r="A13" s="3" t="inlineStr"/>
    </row>
    <row r="14">
      <c r="A14" s="4" t="inlineStr">
        <is>
          <t>3. Scope: what 'A1-A5' means (and what's still excluded)</t>
        </is>
      </c>
    </row>
    <row r="15">
      <c r="A15" s="3" t="inlineStr">
        <is>
          <t>- Construction carbon assessments are broken into life-cycle stages (BS EN 15978). This workbook covers stages A1-A3 (raw material extraction, transport to factory, manufacture), A4 (transport to site) and A5 (construction/installation, via a default % allowance).</t>
        </is>
      </c>
    </row>
    <row r="16">
      <c r="A16" s="3" t="inlineStr">
        <is>
          <t>- It does NOT include B (maintenance, repair, replacement while in use) or C (demolition, disposal at end of life). A full whole-life carbon assessment would need those stages too. This is a named limitation, not an oversight.</t>
        </is>
      </c>
    </row>
    <row r="17">
      <c r="A17" s="3" t="inlineStr">
        <is>
          <t>- A4 uses one assumed average transport distance and a single UK HGV road-freight emission factor for every material - a real project would use each supplier's actual delivery distance and vehicle type.</t>
        </is>
      </c>
    </row>
    <row r="18">
      <c r="A18" s="3" t="inlineStr"/>
    </row>
    <row r="19">
      <c r="A19" s="4" t="inlineStr">
        <is>
          <t>4. Waste allowance</t>
        </is>
      </c>
    </row>
    <row r="20">
      <c r="A20" s="3" t="inlineStr">
        <is>
          <t>- Real quantity take-offs never use 100% of the material ordered - there's always cutting waste, breakages and over-ordering. Each material in the 'Carbon Factors' tab carries a typical waste allowance (e.g. 5% for concrete, 10% for brick/timber), which grosses up the mass before any carbon is calculated - so the estimate reflects what's actually bought, not just what ends up in the permanent structure.</t>
        </is>
      </c>
    </row>
    <row r="21">
      <c r="A21" s="3" t="inlineStr"/>
    </row>
    <row r="22">
      <c r="A22" s="4" t="inlineStr">
        <is>
          <t>5. Where the factors come from</t>
        </is>
      </c>
    </row>
    <row r="23">
      <c r="A23" s="3" t="inlineStr">
        <is>
          <t>- Material (A1-A3) carbon factors are based on the ICE Database (Inventory of Carbon and Energy), originally developed by Prof. Geoff Hammond and Dr Craig Jones at the University of Bath, now maintained by Circular Ecology - the standard free UK reference for embodied carbon, widely cited in industry.</t>
        </is>
      </c>
    </row>
    <row r="24">
      <c r="A24" s="3" t="inlineStr">
        <is>
          <t>- The transport (A4) emission factor is a representative UK HGV road-freight average, in the style of the UK Government's (DESNZ/DEFRA) annual greenhouse gas conversion factors for company reporting.</t>
        </is>
      </c>
    </row>
    <row r="25">
      <c r="A25" s="3" t="inlineStr">
        <is>
          <t>- All figures here are representative/typical values, not product-specific EPD or logistics data. For a real project you'd use the actual supplier's EPD and delivery details.</t>
        </is>
      </c>
    </row>
    <row r="26">
      <c r="A26" s="3" t="inlineStr"/>
    </row>
    <row r="27">
      <c r="A27" s="4" t="inlineStr">
        <is>
          <t>6. Why the steel sourcing matters</t>
        </is>
      </c>
    </row>
    <row r="28">
      <c r="A28" s="3" t="inlineStr">
        <is>
          <t>- The 'Carbon Factors' tab lists two rebar factors: UK-average recycled steel (~0.46 kgCO2e/kg) and virgin steel (~1.99 kgCO2e/kg) - over 4x higher. The 'Comparison' section on the Calculator tab re-runs the same reinforcement quantity through the virgin factor so you can see the difference in real kgCO2e, not just percentages. This is one of the biggest single levers a specifier has over a project's embodied carbon.</t>
        </is>
      </c>
    </row>
    <row r="29">
      <c r="A29" s="3" t="inlineStr"/>
    </row>
    <row r="30">
      <c r="A30" s="4" t="inlineStr">
        <is>
          <t>7. Timber caveat (biogenic carbon)</t>
        </is>
      </c>
    </row>
    <row r="31">
      <c r="A31" s="3" t="inlineStr">
        <is>
          <t>- Growing timber absorbs (sequesters) CO2. Some carbon accounting methods show this as a negative figure at A1-A3 and then add it back at end of life when the timber decays or is burned; others exclude it entirely, which is the convention used here. In practice this means timber's true climate impact is more favourable than the flat 0.31 kgCO2e/kg figure alone suggests - worth knowing if asked about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6" customWidth="1" min="1" max="1"/>
    <col width="8" customWidth="1" min="2" max="2"/>
    <col width="15" customWidth="1" min="3" max="3"/>
    <col width="15" customWidth="1" min="4" max="4"/>
    <col width="14" customWidth="1" min="5" max="5"/>
    <col width="50" customWidth="1" min="6" max="6"/>
  </cols>
  <sheetData>
    <row r="1">
      <c r="A1" s="1" t="inlineStr">
        <is>
          <t>Carbon Factors (Reference Table)</t>
        </is>
      </c>
    </row>
    <row r="2">
      <c r="A2" s="2" t="inlineStr">
        <is>
          <t>Representative A1-A3 factors + typical waste allowances, ICE Database (Univ. of Bath / Circular Ecology)</t>
        </is>
      </c>
    </row>
    <row r="4" ht="32" customHeight="1">
      <c r="A4" s="5" t="inlineStr">
        <is>
          <t>Material</t>
        </is>
      </c>
      <c r="B4" s="5" t="inlineStr">
        <is>
          <t>Unit</t>
        </is>
      </c>
      <c r="C4" s="5" t="inlineStr">
        <is>
          <t>Density (kg/m3)</t>
        </is>
      </c>
      <c r="D4" s="5" t="inlineStr">
        <is>
          <t>Carbon Factor A1-A3 (kgCO2e/kg)</t>
        </is>
      </c>
      <c r="E4" s="5" t="inlineStr">
        <is>
          <t>Typical Waste Allowance (%)</t>
        </is>
      </c>
      <c r="F4" s="5" t="inlineStr">
        <is>
          <t>Source / Notes</t>
        </is>
      </c>
    </row>
    <row r="5" ht="30" customHeight="1">
      <c r="A5" s="6" t="inlineStr">
        <is>
          <t>Ready-mix concrete (general use, 30-40MPa)</t>
        </is>
      </c>
      <c r="B5" s="7" t="inlineStr">
        <is>
          <t>kg</t>
        </is>
      </c>
      <c r="C5" s="7" t="n">
        <v>2400</v>
      </c>
      <c r="D5" s="7" t="n">
        <v>0.103</v>
      </c>
      <c r="E5" s="8" t="n">
        <v>0.05</v>
      </c>
      <c r="F5" s="6" t="inlineStr">
        <is>
          <t>ICE DB, general concrete mix, cradle-to-gate A1-A3</t>
        </is>
      </c>
    </row>
    <row r="6" ht="30" customHeight="1">
      <c r="A6" s="6" t="inlineStr">
        <is>
          <t>Reinforcement steel bar (rebar) - UK average (~66% recycled)</t>
        </is>
      </c>
      <c r="B6" s="7" t="inlineStr">
        <is>
          <t>kg</t>
        </is>
      </c>
      <c r="C6" s="7" t="inlineStr">
        <is>
          <t>-</t>
        </is>
      </c>
      <c r="D6" s="7" t="n">
        <v>0.456</v>
      </c>
      <c r="E6" s="8" t="n">
        <v>0.05</v>
      </c>
      <c r="F6" s="6" t="inlineStr">
        <is>
          <t>ICE DB / UK steel sector average recycled content</t>
        </is>
      </c>
    </row>
    <row r="7" ht="30" customHeight="1">
      <c r="A7" s="6" t="inlineStr">
        <is>
          <t>Reinforcement steel bar (rebar) - virgin (0% recycled)</t>
        </is>
      </c>
      <c r="B7" s="7" t="inlineStr">
        <is>
          <t>kg</t>
        </is>
      </c>
      <c r="C7" s="7" t="inlineStr">
        <is>
          <t>-</t>
        </is>
      </c>
      <c r="D7" s="7" t="n">
        <v>1.99</v>
      </c>
      <c r="E7" s="8" t="n">
        <v>0.05</v>
      </c>
      <c r="F7" s="6" t="inlineStr">
        <is>
          <t>ICE DB, primary/virgin production - shown for comparison only</t>
        </is>
      </c>
    </row>
    <row r="8" ht="30" customHeight="1">
      <c r="A8" s="6" t="inlineStr">
        <is>
          <t>Structural steel sections (hot rolled, virgin)</t>
        </is>
      </c>
      <c r="B8" s="7" t="inlineStr">
        <is>
          <t>kg</t>
        </is>
      </c>
      <c r="C8" s="7" t="inlineStr">
        <is>
          <t>-</t>
        </is>
      </c>
      <c r="D8" s="7" t="n">
        <v>1.55</v>
      </c>
      <c r="E8" s="8" t="n">
        <v>0.05</v>
      </c>
      <c r="F8" s="6" t="inlineStr">
        <is>
          <t>ICE DB</t>
        </is>
      </c>
    </row>
    <row r="9" ht="30" customHeight="1">
      <c r="A9" s="6" t="inlineStr">
        <is>
          <t>Common clay facing brick</t>
        </is>
      </c>
      <c r="B9" s="7" t="inlineStr">
        <is>
          <t>kg</t>
        </is>
      </c>
      <c r="C9" s="7" t="n">
        <v>1700</v>
      </c>
      <c r="D9" s="7" t="n">
        <v>0.24</v>
      </c>
      <c r="E9" s="8" t="n">
        <v>0.1</v>
      </c>
      <c r="F9" s="6" t="inlineStr">
        <is>
          <t>ICE DB, fired clay brick, ~2.3 kg per standard brick</t>
        </is>
      </c>
    </row>
    <row r="10" ht="30" customHeight="1">
      <c r="A10" s="6" t="inlineStr">
        <is>
          <t>Concrete blockwork (dense aggregate)</t>
        </is>
      </c>
      <c r="B10" s="7" t="inlineStr">
        <is>
          <t>kg</t>
        </is>
      </c>
      <c r="C10" s="7" t="n">
        <v>2000</v>
      </c>
      <c r="D10" s="7" t="n">
        <v>0.107</v>
      </c>
      <c r="E10" s="8" t="n">
        <v>0.08</v>
      </c>
      <c r="F10" s="6" t="inlineStr">
        <is>
          <t>ICE DB</t>
        </is>
      </c>
    </row>
    <row r="11" ht="30" customHeight="1">
      <c r="A11" s="6" t="inlineStr">
        <is>
          <t>General purpose cement mortar</t>
        </is>
      </c>
      <c r="B11" s="7" t="inlineStr">
        <is>
          <t>kg</t>
        </is>
      </c>
      <c r="C11" s="7" t="inlineStr">
        <is>
          <t>-</t>
        </is>
      </c>
      <c r="D11" s="7" t="n">
        <v>0.163</v>
      </c>
      <c r="E11" s="8" t="n">
        <v>0.1</v>
      </c>
      <c r="F11" s="6" t="inlineStr">
        <is>
          <t>ICE DB</t>
        </is>
      </c>
    </row>
    <row r="12" ht="30" customHeight="1">
      <c r="A12" s="6" t="inlineStr">
        <is>
          <t>Sawn softwood timber (structural, e.g. C16/C24)</t>
        </is>
      </c>
      <c r="B12" s="7" t="inlineStr">
        <is>
          <t>kg</t>
        </is>
      </c>
      <c r="C12" s="7" t="n">
        <v>480</v>
      </c>
      <c r="D12" s="7" t="n">
        <v>0.31</v>
      </c>
      <c r="E12" s="8" t="n">
        <v>0.1</v>
      </c>
      <c r="F12" s="6" t="inlineStr">
        <is>
          <t>ICE DB - excludes biogenic carbon storage, see Methodology</t>
        </is>
      </c>
    </row>
    <row r="13" ht="30" customHeight="1">
      <c r="A13" s="6" t="inlineStr">
        <is>
          <t>Plasterboard</t>
        </is>
      </c>
      <c r="B13" s="7" t="inlineStr">
        <is>
          <t>kg</t>
        </is>
      </c>
      <c r="C13" s="7" t="inlineStr">
        <is>
          <t>-</t>
        </is>
      </c>
      <c r="D13" s="7" t="n">
        <v>0.39</v>
      </c>
      <c r="E13" s="8" t="n">
        <v>0.1</v>
      </c>
      <c r="F13" s="6" t="inlineStr">
        <is>
          <t>ICE DB, gypsum plasterboard</t>
        </is>
      </c>
    </row>
    <row r="14" ht="30" customHeight="1">
      <c r="A14" s="6" t="inlineStr">
        <is>
          <t>Mineral wool insulation</t>
        </is>
      </c>
      <c r="B14" s="7" t="inlineStr">
        <is>
          <t>kg</t>
        </is>
      </c>
      <c r="C14" s="7" t="inlineStr">
        <is>
          <t>-</t>
        </is>
      </c>
      <c r="D14" s="7" t="n">
        <v>1.28</v>
      </c>
      <c r="E14" s="8" t="n">
        <v>0.05</v>
      </c>
      <c r="F14" s="6" t="inlineStr">
        <is>
          <t>ICE DB, glass/stone mineral wool</t>
        </is>
      </c>
    </row>
    <row r="15" ht="30" customHeight="1">
      <c r="A15" s="6" t="inlineStr">
        <is>
          <t>Concrete roof tile</t>
        </is>
      </c>
      <c r="B15" s="7" t="inlineStr">
        <is>
          <t>kg</t>
        </is>
      </c>
      <c r="C15" s="7" t="inlineStr">
        <is>
          <t>-</t>
        </is>
      </c>
      <c r="D15" s="7" t="n">
        <v>0.098</v>
      </c>
      <c r="E15" s="8" t="n">
        <v>0.08</v>
      </c>
      <c r="F15" s="6" t="inlineStr">
        <is>
          <t>ICE DB</t>
        </is>
      </c>
    </row>
    <row r="16" ht="30" customHeight="1">
      <c r="A16" s="6" t="inlineStr">
        <is>
          <t>Float glass (double-glazed units)</t>
        </is>
      </c>
      <c r="B16" s="7" t="inlineStr">
        <is>
          <t>kg</t>
        </is>
      </c>
      <c r="C16" s="7" t="inlineStr">
        <is>
          <t>-</t>
        </is>
      </c>
      <c r="D16" s="7" t="n">
        <v>0.86</v>
      </c>
      <c r="E16" s="8" t="n">
        <v>0.03</v>
      </c>
      <c r="F16" s="6" t="inlineStr">
        <is>
          <t>ICE DB, flat glass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cols>
    <col width="34" customWidth="1" min="1" max="1"/>
    <col width="44" customWidth="1" min="2" max="2"/>
    <col width="11" customWidth="1" min="3" max="3"/>
    <col width="7" customWidth="1" min="4" max="4"/>
    <col width="9" customWidth="1" min="5" max="5"/>
    <col width="13" customWidth="1" min="6" max="6"/>
    <col width="14" customWidth="1" min="7" max="7"/>
    <col width="13" customWidth="1" min="8" max="8"/>
    <col width="13" customWidth="1" min="9" max="9"/>
    <col width="13" customWidth="1" min="10" max="10"/>
    <col width="14" customWidth="1" min="11" max="11"/>
    <col width="14" customWidth="1" min="12" max="12"/>
    <col width="13" customWidth="1" min="13" max="13"/>
  </cols>
  <sheetData>
    <row r="1">
      <c r="A1" s="1" t="inlineStr">
        <is>
          <t>Calculator</t>
        </is>
      </c>
    </row>
    <row r="2">
      <c r="A2" s="2" t="inlineStr">
        <is>
          <t>Reusable template - pre-filled with a worked example (small single-storey domestic extension)</t>
        </is>
      </c>
    </row>
    <row r="4">
      <c r="A4" s="9" t="inlineStr">
        <is>
          <t>Project name:</t>
        </is>
      </c>
      <c r="C4" s="10" t="inlineStr">
        <is>
          <t>Small single-storey domestic side extension (~15m2 footprint)</t>
        </is>
      </c>
    </row>
    <row r="5">
      <c r="A5" s="9" t="inlineStr">
        <is>
          <t>Average transport distance to site (km):</t>
        </is>
      </c>
      <c r="C5" s="10" t="n">
        <v>50</v>
      </c>
    </row>
    <row r="6">
      <c r="A6" s="9" t="inlineStr">
        <is>
          <t>Transport emission factor (kgCO2e per tonne.km - UK HGV road avg):</t>
        </is>
      </c>
      <c r="C6" s="10" t="n">
        <v>0.105</v>
      </c>
    </row>
    <row r="7">
      <c r="A7" s="9" t="inlineStr">
        <is>
          <t>A5 construction/site energy allowance (% of A1-A4):</t>
        </is>
      </c>
      <c r="C7" s="11" t="n">
        <v>0.05</v>
      </c>
    </row>
    <row r="8">
      <c r="A8" s="12" t="inlineStr">
        <is>
          <t>(Yellow cells are editable assumptions - change them here and every row below recalculates.)</t>
        </is>
      </c>
    </row>
    <row r="10">
      <c r="A10" s="13" t="inlineStr">
        <is>
          <t>Worked example rows below, followed by blank template rows for a new project. Material has a dropdown list; Unit must be 'm3' or 'kg'.</t>
        </is>
      </c>
    </row>
    <row r="11" ht="32" customHeight="1">
      <c r="A11" s="5" t="inlineStr">
        <is>
          <t>Element</t>
        </is>
      </c>
      <c r="B11" s="5" t="inlineStr">
        <is>
          <t>Material</t>
        </is>
      </c>
      <c r="C11" s="5" t="inlineStr">
        <is>
          <t>Quantity</t>
        </is>
      </c>
      <c r="D11" s="5" t="inlineStr">
        <is>
          <t>Unit</t>
        </is>
      </c>
      <c r="E11" s="5" t="inlineStr">
        <is>
          <t>Waste %</t>
        </is>
      </c>
      <c r="F11" s="5" t="inlineStr">
        <is>
          <t>Density (kg/m3)</t>
        </is>
      </c>
      <c r="G11" s="5" t="inlineStr">
        <is>
          <t>Mass incl. waste (kg)</t>
        </is>
      </c>
      <c r="H11" s="5" t="inlineStr">
        <is>
          <t>A1-A3 Factor (kgCO2e/kg)</t>
        </is>
      </c>
      <c r="I11" s="5" t="inlineStr">
        <is>
          <t>A1-A3 Carbon (kgCO2e)</t>
        </is>
      </c>
      <c r="J11" s="5" t="inlineStr">
        <is>
          <t>A4 Transport (kgCO2e)</t>
        </is>
      </c>
      <c r="K11" s="5" t="inlineStr">
        <is>
          <t>A5 Construction (kgCO2e)</t>
        </is>
      </c>
      <c r="L11" s="5" t="inlineStr">
        <is>
          <t>Total Carbon (kgCO2e)</t>
        </is>
      </c>
      <c r="M11" s="5" t="inlineStr">
        <is>
          <t>Total Carbon (tCO2e)</t>
        </is>
      </c>
    </row>
    <row r="12" ht="30" customHeight="1">
      <c r="A12" s="6" t="inlineStr">
        <is>
          <t>Foundation (strip footing)</t>
        </is>
      </c>
      <c r="B12" s="6" t="inlineStr">
        <is>
          <t>Ready-mix concrete (general use, 30-40MPa)</t>
        </is>
      </c>
      <c r="C12" s="7" t="n">
        <v>4.5</v>
      </c>
      <c r="D12" s="7" t="inlineStr">
        <is>
          <t>m3</t>
        </is>
      </c>
      <c r="E12" s="7">
        <f>IFERROR(VLOOKUP(B12,'Carbon Factors'!$A$5:$F$16,5,FALSE),"")</f>
        <v/>
      </c>
      <c r="F12" s="7">
        <f>IFERROR(VLOOKUP(B12,'Carbon Factors'!$A$5:$F$16,3,FALSE),"")</f>
        <v/>
      </c>
      <c r="G12" s="7">
        <f>IFERROR(IF(D12="m3",C12*F12,C12)*(1+E12),"")</f>
        <v/>
      </c>
      <c r="H12" s="7">
        <f>IFERROR(VLOOKUP(B12,'Carbon Factors'!$A$5:$F$16,4,FALSE),"")</f>
        <v/>
      </c>
      <c r="I12" s="7">
        <f>IFERROR(G12*H12,"")</f>
        <v/>
      </c>
      <c r="J12" s="7">
        <f>IFERROR((G12/1000)*$C$5*$C$6,"")</f>
        <v/>
      </c>
      <c r="K12" s="7">
        <f>IFERROR((I12+J12)*$C$7,"")</f>
        <v/>
      </c>
      <c r="L12" s="7">
        <f>IFERROR(I12+J12+K12,"")</f>
        <v/>
      </c>
      <c r="M12" s="7">
        <f>IFERROR(L12/1000,"")</f>
        <v/>
      </c>
    </row>
    <row r="13" ht="30" customHeight="1">
      <c r="A13" s="6" t="inlineStr">
        <is>
          <t>Ground floor slab</t>
        </is>
      </c>
      <c r="B13" s="6" t="inlineStr">
        <is>
          <t>Ready-mix concrete (general use, 30-40MPa)</t>
        </is>
      </c>
      <c r="C13" s="7" t="n">
        <v>2.25</v>
      </c>
      <c r="D13" s="7" t="inlineStr">
        <is>
          <t>m3</t>
        </is>
      </c>
      <c r="E13" s="7">
        <f>IFERROR(VLOOKUP(B13,'Carbon Factors'!$A$5:$F$16,5,FALSE),"")</f>
        <v/>
      </c>
      <c r="F13" s="7">
        <f>IFERROR(VLOOKUP(B13,'Carbon Factors'!$A$5:$F$16,3,FALSE),"")</f>
        <v/>
      </c>
      <c r="G13" s="7">
        <f>IFERROR(IF(D13="m3",C13*F13,C13)*(1+E13),"")</f>
        <v/>
      </c>
      <c r="H13" s="7">
        <f>IFERROR(VLOOKUP(B13,'Carbon Factors'!$A$5:$F$16,4,FALSE),"")</f>
        <v/>
      </c>
      <c r="I13" s="7">
        <f>IFERROR(G13*H13,"")</f>
        <v/>
      </c>
      <c r="J13" s="7">
        <f>IFERROR((G13/1000)*$C$5*$C$6,"")</f>
        <v/>
      </c>
      <c r="K13" s="7">
        <f>IFERROR((I13+J13)*$C$7,"")</f>
        <v/>
      </c>
      <c r="L13" s="7">
        <f>IFERROR(I13+J13+K13,"")</f>
        <v/>
      </c>
      <c r="M13" s="7">
        <f>IFERROR(L13/1000,"")</f>
        <v/>
      </c>
    </row>
    <row r="14" ht="30" customHeight="1">
      <c r="A14" s="6" t="inlineStr">
        <is>
          <t>Reinforcement (foundation + slab)</t>
        </is>
      </c>
      <c r="B14" s="6" t="inlineStr">
        <is>
          <t>Reinforcement steel bar (rebar) - UK average (~66% recycled)</t>
        </is>
      </c>
      <c r="C14" s="7" t="n">
        <v>350</v>
      </c>
      <c r="D14" s="7" t="inlineStr">
        <is>
          <t>kg</t>
        </is>
      </c>
      <c r="E14" s="7">
        <f>IFERROR(VLOOKUP(B14,'Carbon Factors'!$A$5:$F$16,5,FALSE),"")</f>
        <v/>
      </c>
      <c r="F14" s="7">
        <f>IFERROR(VLOOKUP(B14,'Carbon Factors'!$A$5:$F$16,3,FALSE),"")</f>
        <v/>
      </c>
      <c r="G14" s="7">
        <f>IFERROR(IF(D14="m3",C14*F14,C14)*(1+E14),"")</f>
        <v/>
      </c>
      <c r="H14" s="7">
        <f>IFERROR(VLOOKUP(B14,'Carbon Factors'!$A$5:$F$16,4,FALSE),"")</f>
        <v/>
      </c>
      <c r="I14" s="7">
        <f>IFERROR(G14*H14,"")</f>
        <v/>
      </c>
      <c r="J14" s="7">
        <f>IFERROR((G14/1000)*$C$5*$C$6,"")</f>
        <v/>
      </c>
      <c r="K14" s="7">
        <f>IFERROR((I14+J14)*$C$7,"")</f>
        <v/>
      </c>
      <c r="L14" s="7">
        <f>IFERROR(I14+J14+K14,"")</f>
        <v/>
      </c>
      <c r="M14" s="7">
        <f>IFERROR(L14/1000,"")</f>
        <v/>
      </c>
    </row>
    <row r="15" ht="30" customHeight="1">
      <c r="A15" s="6" t="inlineStr">
        <is>
          <t>Lintels over openings</t>
        </is>
      </c>
      <c r="B15" s="6" t="inlineStr">
        <is>
          <t>Structural steel sections (hot rolled, virgin)</t>
        </is>
      </c>
      <c r="C15" s="7" t="n">
        <v>45</v>
      </c>
      <c r="D15" s="7" t="inlineStr">
        <is>
          <t>kg</t>
        </is>
      </c>
      <c r="E15" s="7">
        <f>IFERROR(VLOOKUP(B15,'Carbon Factors'!$A$5:$F$16,5,FALSE),"")</f>
        <v/>
      </c>
      <c r="F15" s="7">
        <f>IFERROR(VLOOKUP(B15,'Carbon Factors'!$A$5:$F$16,3,FALSE),"")</f>
        <v/>
      </c>
      <c r="G15" s="7">
        <f>IFERROR(IF(D15="m3",C15*F15,C15)*(1+E15),"")</f>
        <v/>
      </c>
      <c r="H15" s="7">
        <f>IFERROR(VLOOKUP(B15,'Carbon Factors'!$A$5:$F$16,4,FALSE),"")</f>
        <v/>
      </c>
      <c r="I15" s="7">
        <f>IFERROR(G15*H15,"")</f>
        <v/>
      </c>
      <c r="J15" s="7">
        <f>IFERROR((G15/1000)*$C$5*$C$6,"")</f>
        <v/>
      </c>
      <c r="K15" s="7">
        <f>IFERROR((I15+J15)*$C$7,"")</f>
        <v/>
      </c>
      <c r="L15" s="7">
        <f>IFERROR(I15+J15+K15,"")</f>
        <v/>
      </c>
      <c r="M15" s="7">
        <f>IFERROR(L15/1000,"")</f>
        <v/>
      </c>
    </row>
    <row r="16" ht="30" customHeight="1">
      <c r="A16" s="6" t="inlineStr">
        <is>
          <t>External walls - outer leaf (facing brick)</t>
        </is>
      </c>
      <c r="B16" s="6" t="inlineStr">
        <is>
          <t>Common clay facing brick</t>
        </is>
      </c>
      <c r="C16" s="7" t="n">
        <v>4140</v>
      </c>
      <c r="D16" s="7" t="inlineStr">
        <is>
          <t>kg</t>
        </is>
      </c>
      <c r="E16" s="7">
        <f>IFERROR(VLOOKUP(B16,'Carbon Factors'!$A$5:$F$16,5,FALSE),"")</f>
        <v/>
      </c>
      <c r="F16" s="7">
        <f>IFERROR(VLOOKUP(B16,'Carbon Factors'!$A$5:$F$16,3,FALSE),"")</f>
        <v/>
      </c>
      <c r="G16" s="7">
        <f>IFERROR(IF(D16="m3",C16*F16,C16)*(1+E16),"")</f>
        <v/>
      </c>
      <c r="H16" s="7">
        <f>IFERROR(VLOOKUP(B16,'Carbon Factors'!$A$5:$F$16,4,FALSE),"")</f>
        <v/>
      </c>
      <c r="I16" s="7">
        <f>IFERROR(G16*H16,"")</f>
        <v/>
      </c>
      <c r="J16" s="7">
        <f>IFERROR((G16/1000)*$C$5*$C$6,"")</f>
        <v/>
      </c>
      <c r="K16" s="7">
        <f>IFERROR((I16+J16)*$C$7,"")</f>
        <v/>
      </c>
      <c r="L16" s="7">
        <f>IFERROR(I16+J16+K16,"")</f>
        <v/>
      </c>
      <c r="M16" s="7">
        <f>IFERROR(L16/1000,"")</f>
        <v/>
      </c>
    </row>
    <row r="17" ht="30" customHeight="1">
      <c r="A17" s="6" t="inlineStr">
        <is>
          <t>External walls - inner leaf (blockwork)</t>
        </is>
      </c>
      <c r="B17" s="6" t="inlineStr">
        <is>
          <t>Concrete blockwork (dense aggregate)</t>
        </is>
      </c>
      <c r="C17" s="7" t="n">
        <v>3000</v>
      </c>
      <c r="D17" s="7" t="inlineStr">
        <is>
          <t>kg</t>
        </is>
      </c>
      <c r="E17" s="7">
        <f>IFERROR(VLOOKUP(B17,'Carbon Factors'!$A$5:$F$16,5,FALSE),"")</f>
        <v/>
      </c>
      <c r="F17" s="7">
        <f>IFERROR(VLOOKUP(B17,'Carbon Factors'!$A$5:$F$16,3,FALSE),"")</f>
        <v/>
      </c>
      <c r="G17" s="7">
        <f>IFERROR(IF(D17="m3",C17*F17,C17)*(1+E17),"")</f>
        <v/>
      </c>
      <c r="H17" s="7">
        <f>IFERROR(VLOOKUP(B17,'Carbon Factors'!$A$5:$F$16,4,FALSE),"")</f>
        <v/>
      </c>
      <c r="I17" s="7">
        <f>IFERROR(G17*H17,"")</f>
        <v/>
      </c>
      <c r="J17" s="7">
        <f>IFERROR((G17/1000)*$C$5*$C$6,"")</f>
        <v/>
      </c>
      <c r="K17" s="7">
        <f>IFERROR((I17+J17)*$C$7,"")</f>
        <v/>
      </c>
      <c r="L17" s="7">
        <f>IFERROR(I17+J17+K17,"")</f>
        <v/>
      </c>
      <c r="M17" s="7">
        <f>IFERROR(L17/1000,"")</f>
        <v/>
      </c>
    </row>
    <row r="18" ht="30" customHeight="1">
      <c r="A18" s="6" t="inlineStr">
        <is>
          <t>Mortar (brick/block bedding &amp; pointing)</t>
        </is>
      </c>
      <c r="B18" s="6" t="inlineStr">
        <is>
          <t>General purpose cement mortar</t>
        </is>
      </c>
      <c r="C18" s="7" t="n">
        <v>500</v>
      </c>
      <c r="D18" s="7" t="inlineStr">
        <is>
          <t>kg</t>
        </is>
      </c>
      <c r="E18" s="7">
        <f>IFERROR(VLOOKUP(B18,'Carbon Factors'!$A$5:$F$16,5,FALSE),"")</f>
        <v/>
      </c>
      <c r="F18" s="7">
        <f>IFERROR(VLOOKUP(B18,'Carbon Factors'!$A$5:$F$16,3,FALSE),"")</f>
        <v/>
      </c>
      <c r="G18" s="7">
        <f>IFERROR(IF(D18="m3",C18*F18,C18)*(1+E18),"")</f>
        <v/>
      </c>
      <c r="H18" s="7">
        <f>IFERROR(VLOOKUP(B18,'Carbon Factors'!$A$5:$F$16,4,FALSE),"")</f>
        <v/>
      </c>
      <c r="I18" s="7">
        <f>IFERROR(G18*H18,"")</f>
        <v/>
      </c>
      <c r="J18" s="7">
        <f>IFERROR((G18/1000)*$C$5*$C$6,"")</f>
        <v/>
      </c>
      <c r="K18" s="7">
        <f>IFERROR((I18+J18)*$C$7,"")</f>
        <v/>
      </c>
      <c r="L18" s="7">
        <f>IFERROR(I18+J18+K18,"")</f>
        <v/>
      </c>
      <c r="M18" s="7">
        <f>IFERROR(L18/1000,"")</f>
        <v/>
      </c>
    </row>
    <row r="19" ht="30" customHeight="1">
      <c r="A19" s="6" t="inlineStr">
        <is>
          <t>Roof structure (rafters, purlins, wall plates)</t>
        </is>
      </c>
      <c r="B19" s="6" t="inlineStr">
        <is>
          <t>Sawn softwood timber (structural, e.g. C16/C24)</t>
        </is>
      </c>
      <c r="C19" s="7" t="n">
        <v>600</v>
      </c>
      <c r="D19" s="7" t="inlineStr">
        <is>
          <t>kg</t>
        </is>
      </c>
      <c r="E19" s="7">
        <f>IFERROR(VLOOKUP(B19,'Carbon Factors'!$A$5:$F$16,5,FALSE),"")</f>
        <v/>
      </c>
      <c r="F19" s="7">
        <f>IFERROR(VLOOKUP(B19,'Carbon Factors'!$A$5:$F$16,3,FALSE),"")</f>
        <v/>
      </c>
      <c r="G19" s="7">
        <f>IFERROR(IF(D19="m3",C19*F19,C19)*(1+E19),"")</f>
        <v/>
      </c>
      <c r="H19" s="7">
        <f>IFERROR(VLOOKUP(B19,'Carbon Factors'!$A$5:$F$16,4,FALSE),"")</f>
        <v/>
      </c>
      <c r="I19" s="7">
        <f>IFERROR(G19*H19,"")</f>
        <v/>
      </c>
      <c r="J19" s="7">
        <f>IFERROR((G19/1000)*$C$5*$C$6,"")</f>
        <v/>
      </c>
      <c r="K19" s="7">
        <f>IFERROR((I19+J19)*$C$7,"")</f>
        <v/>
      </c>
      <c r="L19" s="7">
        <f>IFERROR(I19+J19+K19,"")</f>
        <v/>
      </c>
      <c r="M19" s="7">
        <f>IFERROR(L19/1000,"")</f>
        <v/>
      </c>
    </row>
    <row r="20" ht="30" customHeight="1">
      <c r="A20" s="7" t="n"/>
      <c r="B20" s="7" t="n"/>
      <c r="C20" s="7" t="n"/>
      <c r="D20" s="7" t="n"/>
      <c r="E20" s="7">
        <f>IFERROR(VLOOKUP(B20,'Carbon Factors'!$A$5:$F$16,5,FALSE),"")</f>
        <v/>
      </c>
      <c r="F20" s="7">
        <f>IFERROR(VLOOKUP(B20,'Carbon Factors'!$A$5:$F$16,3,FALSE),"")</f>
        <v/>
      </c>
      <c r="G20" s="7">
        <f>IFERROR(IF(D20="m3",C20*F20,C20)*(1+E20),"")</f>
        <v/>
      </c>
      <c r="H20" s="7">
        <f>IFERROR(VLOOKUP(B20,'Carbon Factors'!$A$5:$F$16,4,FALSE),"")</f>
        <v/>
      </c>
      <c r="I20" s="7">
        <f>IFERROR(G20*H20,"")</f>
        <v/>
      </c>
      <c r="J20" s="7">
        <f>IFERROR((G20/1000)*$C$5*$C$6,"")</f>
        <v/>
      </c>
      <c r="K20" s="7">
        <f>IFERROR((I20+J20)*$C$7,"")</f>
        <v/>
      </c>
      <c r="L20" s="7">
        <f>IFERROR(I20+J20+K20,"")</f>
        <v/>
      </c>
      <c r="M20" s="7">
        <f>IFERROR(L20/1000,"")</f>
        <v/>
      </c>
    </row>
    <row r="21" ht="30" customHeight="1">
      <c r="A21" s="7" t="n"/>
      <c r="B21" s="7" t="n"/>
      <c r="C21" s="7" t="n"/>
      <c r="D21" s="7" t="n"/>
      <c r="E21" s="7">
        <f>IFERROR(VLOOKUP(B21,'Carbon Factors'!$A$5:$F$16,5,FALSE),"")</f>
        <v/>
      </c>
      <c r="F21" s="7">
        <f>IFERROR(VLOOKUP(B21,'Carbon Factors'!$A$5:$F$16,3,FALSE),"")</f>
        <v/>
      </c>
      <c r="G21" s="7">
        <f>IFERROR(IF(D21="m3",C21*F21,C21)*(1+E21),"")</f>
        <v/>
      </c>
      <c r="H21" s="7">
        <f>IFERROR(VLOOKUP(B21,'Carbon Factors'!$A$5:$F$16,4,FALSE),"")</f>
        <v/>
      </c>
      <c r="I21" s="7">
        <f>IFERROR(G21*H21,"")</f>
        <v/>
      </c>
      <c r="J21" s="7">
        <f>IFERROR((G21/1000)*$C$5*$C$6,"")</f>
        <v/>
      </c>
      <c r="K21" s="7">
        <f>IFERROR((I21+J21)*$C$7,"")</f>
        <v/>
      </c>
      <c r="L21" s="7">
        <f>IFERROR(I21+J21+K21,"")</f>
        <v/>
      </c>
      <c r="M21" s="7">
        <f>IFERROR(L21/1000,"")</f>
        <v/>
      </c>
    </row>
    <row r="22" ht="30" customHeight="1">
      <c r="A22" s="7" t="n"/>
      <c r="B22" s="7" t="n"/>
      <c r="C22" s="7" t="n"/>
      <c r="D22" s="7" t="n"/>
      <c r="E22" s="7">
        <f>IFERROR(VLOOKUP(B22,'Carbon Factors'!$A$5:$F$16,5,FALSE),"")</f>
        <v/>
      </c>
      <c r="F22" s="7">
        <f>IFERROR(VLOOKUP(B22,'Carbon Factors'!$A$5:$F$16,3,FALSE),"")</f>
        <v/>
      </c>
      <c r="G22" s="7">
        <f>IFERROR(IF(D22="m3",C22*F22,C22)*(1+E22),"")</f>
        <v/>
      </c>
      <c r="H22" s="7">
        <f>IFERROR(VLOOKUP(B22,'Carbon Factors'!$A$5:$F$16,4,FALSE),"")</f>
        <v/>
      </c>
      <c r="I22" s="7">
        <f>IFERROR(G22*H22,"")</f>
        <v/>
      </c>
      <c r="J22" s="7">
        <f>IFERROR((G22/1000)*$C$5*$C$6,"")</f>
        <v/>
      </c>
      <c r="K22" s="7">
        <f>IFERROR((I22+J22)*$C$7,"")</f>
        <v/>
      </c>
      <c r="L22" s="7">
        <f>IFERROR(I22+J22+K22,"")</f>
        <v/>
      </c>
      <c r="M22" s="7">
        <f>IFERROR(L22/1000,"")</f>
        <v/>
      </c>
    </row>
    <row r="23" ht="30" customHeight="1">
      <c r="A23" s="7" t="n"/>
      <c r="B23" s="7" t="n"/>
      <c r="C23" s="7" t="n"/>
      <c r="D23" s="7" t="n"/>
      <c r="E23" s="7">
        <f>IFERROR(VLOOKUP(B23,'Carbon Factors'!$A$5:$F$16,5,FALSE),"")</f>
        <v/>
      </c>
      <c r="F23" s="7">
        <f>IFERROR(VLOOKUP(B23,'Carbon Factors'!$A$5:$F$16,3,FALSE),"")</f>
        <v/>
      </c>
      <c r="G23" s="7">
        <f>IFERROR(IF(D23="m3",C23*F23,C23)*(1+E23),"")</f>
        <v/>
      </c>
      <c r="H23" s="7">
        <f>IFERROR(VLOOKUP(B23,'Carbon Factors'!$A$5:$F$16,4,FALSE),"")</f>
        <v/>
      </c>
      <c r="I23" s="7">
        <f>IFERROR(G23*H23,"")</f>
        <v/>
      </c>
      <c r="J23" s="7">
        <f>IFERROR((G23/1000)*$C$5*$C$6,"")</f>
        <v/>
      </c>
      <c r="K23" s="7">
        <f>IFERROR((I23+J23)*$C$7,"")</f>
        <v/>
      </c>
      <c r="L23" s="7">
        <f>IFERROR(I23+J23+K23,"")</f>
        <v/>
      </c>
      <c r="M23" s="7">
        <f>IFERROR(L23/1000,"")</f>
        <v/>
      </c>
    </row>
    <row r="24" ht="30" customHeight="1">
      <c r="A24" s="7" t="n"/>
      <c r="B24" s="7" t="n"/>
      <c r="C24" s="7" t="n"/>
      <c r="D24" s="7" t="n"/>
      <c r="E24" s="7">
        <f>IFERROR(VLOOKUP(B24,'Carbon Factors'!$A$5:$F$16,5,FALSE),"")</f>
        <v/>
      </c>
      <c r="F24" s="7">
        <f>IFERROR(VLOOKUP(B24,'Carbon Factors'!$A$5:$F$16,3,FALSE),"")</f>
        <v/>
      </c>
      <c r="G24" s="7">
        <f>IFERROR(IF(D24="m3",C24*F24,C24)*(1+E24),"")</f>
        <v/>
      </c>
      <c r="H24" s="7">
        <f>IFERROR(VLOOKUP(B24,'Carbon Factors'!$A$5:$F$16,4,FALSE),"")</f>
        <v/>
      </c>
      <c r="I24" s="7">
        <f>IFERROR(G24*H24,"")</f>
        <v/>
      </c>
      <c r="J24" s="7">
        <f>IFERROR((G24/1000)*$C$5*$C$6,"")</f>
        <v/>
      </c>
      <c r="K24" s="7">
        <f>IFERROR((I24+J24)*$C$7,"")</f>
        <v/>
      </c>
      <c r="L24" s="7">
        <f>IFERROR(I24+J24+K24,"")</f>
        <v/>
      </c>
      <c r="M24" s="7">
        <f>IFERROR(L24/1000,"")</f>
        <v/>
      </c>
    </row>
    <row r="25" ht="30" customHeight="1">
      <c r="A25" s="7" t="n"/>
      <c r="B25" s="7" t="n"/>
      <c r="C25" s="7" t="n"/>
      <c r="D25" s="7" t="n"/>
      <c r="E25" s="7">
        <f>IFERROR(VLOOKUP(B25,'Carbon Factors'!$A$5:$F$16,5,FALSE),"")</f>
        <v/>
      </c>
      <c r="F25" s="7">
        <f>IFERROR(VLOOKUP(B25,'Carbon Factors'!$A$5:$F$16,3,FALSE),"")</f>
        <v/>
      </c>
      <c r="G25" s="7">
        <f>IFERROR(IF(D25="m3",C25*F25,C25)*(1+E25),"")</f>
        <v/>
      </c>
      <c r="H25" s="7">
        <f>IFERROR(VLOOKUP(B25,'Carbon Factors'!$A$5:$F$16,4,FALSE),"")</f>
        <v/>
      </c>
      <c r="I25" s="7">
        <f>IFERROR(G25*H25,"")</f>
        <v/>
      </c>
      <c r="J25" s="7">
        <f>IFERROR((G25/1000)*$C$5*$C$6,"")</f>
        <v/>
      </c>
      <c r="K25" s="7">
        <f>IFERROR((I25+J25)*$C$7,"")</f>
        <v/>
      </c>
      <c r="L25" s="7">
        <f>IFERROR(I25+J25+K25,"")</f>
        <v/>
      </c>
      <c r="M25" s="7">
        <f>IFERROR(L25/1000,"")</f>
        <v/>
      </c>
    </row>
    <row r="26" ht="30" customHeight="1">
      <c r="A26" s="7" t="n"/>
      <c r="B26" s="7" t="n"/>
      <c r="C26" s="7" t="n"/>
      <c r="D26" s="7" t="n"/>
      <c r="E26" s="7">
        <f>IFERROR(VLOOKUP(B26,'Carbon Factors'!$A$5:$F$16,5,FALSE),"")</f>
        <v/>
      </c>
      <c r="F26" s="7">
        <f>IFERROR(VLOOKUP(B26,'Carbon Factors'!$A$5:$F$16,3,FALSE),"")</f>
        <v/>
      </c>
      <c r="G26" s="7">
        <f>IFERROR(IF(D26="m3",C26*F26,C26)*(1+E26),"")</f>
        <v/>
      </c>
      <c r="H26" s="7">
        <f>IFERROR(VLOOKUP(B26,'Carbon Factors'!$A$5:$F$16,4,FALSE),"")</f>
        <v/>
      </c>
      <c r="I26" s="7">
        <f>IFERROR(G26*H26,"")</f>
        <v/>
      </c>
      <c r="J26" s="7">
        <f>IFERROR((G26/1000)*$C$5*$C$6,"")</f>
        <v/>
      </c>
      <c r="K26" s="7">
        <f>IFERROR((I26+J26)*$C$7,"")</f>
        <v/>
      </c>
      <c r="L26" s="7">
        <f>IFERROR(I26+J26+K26,"")</f>
        <v/>
      </c>
      <c r="M26" s="7">
        <f>IFERROR(L26/1000,"")</f>
        <v/>
      </c>
    </row>
    <row r="27" ht="30" customHeight="1">
      <c r="A27" s="7" t="n"/>
      <c r="B27" s="7" t="n"/>
      <c r="C27" s="7" t="n"/>
      <c r="D27" s="7" t="n"/>
      <c r="E27" s="7">
        <f>IFERROR(VLOOKUP(B27,'Carbon Factors'!$A$5:$F$16,5,FALSE),"")</f>
        <v/>
      </c>
      <c r="F27" s="7">
        <f>IFERROR(VLOOKUP(B27,'Carbon Factors'!$A$5:$F$16,3,FALSE),"")</f>
        <v/>
      </c>
      <c r="G27" s="7">
        <f>IFERROR(IF(D27="m3",C27*F27,C27)*(1+E27),"")</f>
        <v/>
      </c>
      <c r="H27" s="7">
        <f>IFERROR(VLOOKUP(B27,'Carbon Factors'!$A$5:$F$16,4,FALSE),"")</f>
        <v/>
      </c>
      <c r="I27" s="7">
        <f>IFERROR(G27*H27,"")</f>
        <v/>
      </c>
      <c r="J27" s="7">
        <f>IFERROR((G27/1000)*$C$5*$C$6,"")</f>
        <v/>
      </c>
      <c r="K27" s="7">
        <f>IFERROR((I27+J27)*$C$7,"")</f>
        <v/>
      </c>
      <c r="L27" s="7">
        <f>IFERROR(I27+J27+K27,"")</f>
        <v/>
      </c>
      <c r="M27" s="7">
        <f>IFERROR(L27/1000,"")</f>
        <v/>
      </c>
    </row>
    <row r="28" ht="30" customHeight="1">
      <c r="A28" s="7" t="n"/>
      <c r="B28" s="7" t="n"/>
      <c r="C28" s="7" t="n"/>
      <c r="D28" s="7" t="n"/>
      <c r="E28" s="7">
        <f>IFERROR(VLOOKUP(B28,'Carbon Factors'!$A$5:$F$16,5,FALSE),"")</f>
        <v/>
      </c>
      <c r="F28" s="7">
        <f>IFERROR(VLOOKUP(B28,'Carbon Factors'!$A$5:$F$16,3,FALSE),"")</f>
        <v/>
      </c>
      <c r="G28" s="7">
        <f>IFERROR(IF(D28="m3",C28*F28,C28)*(1+E28),"")</f>
        <v/>
      </c>
      <c r="H28" s="7">
        <f>IFERROR(VLOOKUP(B28,'Carbon Factors'!$A$5:$F$16,4,FALSE),"")</f>
        <v/>
      </c>
      <c r="I28" s="7">
        <f>IFERROR(G28*H28,"")</f>
        <v/>
      </c>
      <c r="J28" s="7">
        <f>IFERROR((G28/1000)*$C$5*$C$6,"")</f>
        <v/>
      </c>
      <c r="K28" s="7">
        <f>IFERROR((I28+J28)*$C$7,"")</f>
        <v/>
      </c>
      <c r="L28" s="7">
        <f>IFERROR(I28+J28+K28,"")</f>
        <v/>
      </c>
      <c r="M28" s="7">
        <f>IFERROR(L28/1000,"")</f>
        <v/>
      </c>
    </row>
    <row r="29" ht="30" customHeight="1">
      <c r="A29" s="7" t="n"/>
      <c r="B29" s="7" t="n"/>
      <c r="C29" s="7" t="n"/>
      <c r="D29" s="7" t="n"/>
      <c r="E29" s="7">
        <f>IFERROR(VLOOKUP(B29,'Carbon Factors'!$A$5:$F$16,5,FALSE),"")</f>
        <v/>
      </c>
      <c r="F29" s="7">
        <f>IFERROR(VLOOKUP(B29,'Carbon Factors'!$A$5:$F$16,3,FALSE),"")</f>
        <v/>
      </c>
      <c r="G29" s="7">
        <f>IFERROR(IF(D29="m3",C29*F29,C29)*(1+E29),"")</f>
        <v/>
      </c>
      <c r="H29" s="7">
        <f>IFERROR(VLOOKUP(B29,'Carbon Factors'!$A$5:$F$16,4,FALSE),"")</f>
        <v/>
      </c>
      <c r="I29" s="7">
        <f>IFERROR(G29*H29,"")</f>
        <v/>
      </c>
      <c r="J29" s="7">
        <f>IFERROR((G29/1000)*$C$5*$C$6,"")</f>
        <v/>
      </c>
      <c r="K29" s="7">
        <f>IFERROR((I29+J29)*$C$7,"")</f>
        <v/>
      </c>
      <c r="L29" s="7">
        <f>IFERROR(I29+J29+K29,"")</f>
        <v/>
      </c>
      <c r="M29" s="7">
        <f>IFERROR(L29/1000,"")</f>
        <v/>
      </c>
    </row>
    <row r="30" ht="30" customHeight="1">
      <c r="A30" s="7" t="n"/>
      <c r="B30" s="7" t="n"/>
      <c r="C30" s="7" t="n"/>
      <c r="D30" s="7" t="n"/>
      <c r="E30" s="7">
        <f>IFERROR(VLOOKUP(B30,'Carbon Factors'!$A$5:$F$16,5,FALSE),"")</f>
        <v/>
      </c>
      <c r="F30" s="7">
        <f>IFERROR(VLOOKUP(B30,'Carbon Factors'!$A$5:$F$16,3,FALSE),"")</f>
        <v/>
      </c>
      <c r="G30" s="7">
        <f>IFERROR(IF(D30="m3",C30*F30,C30)*(1+E30),"")</f>
        <v/>
      </c>
      <c r="H30" s="7">
        <f>IFERROR(VLOOKUP(B30,'Carbon Factors'!$A$5:$F$16,4,FALSE),"")</f>
        <v/>
      </c>
      <c r="I30" s="7">
        <f>IFERROR(G30*H30,"")</f>
        <v/>
      </c>
      <c r="J30" s="7">
        <f>IFERROR((G30/1000)*$C$5*$C$6,"")</f>
        <v/>
      </c>
      <c r="K30" s="7">
        <f>IFERROR((I30+J30)*$C$7,"")</f>
        <v/>
      </c>
      <c r="L30" s="7">
        <f>IFERROR(I30+J30+K30,"")</f>
        <v/>
      </c>
      <c r="M30" s="7">
        <f>IFERROR(L30/1000,"")</f>
        <v/>
      </c>
    </row>
    <row r="31" ht="30" customHeight="1">
      <c r="A31" s="7" t="n"/>
      <c r="B31" s="7" t="n"/>
      <c r="C31" s="7" t="n"/>
      <c r="D31" s="7" t="n"/>
      <c r="E31" s="7">
        <f>IFERROR(VLOOKUP(B31,'Carbon Factors'!$A$5:$F$16,5,FALSE),"")</f>
        <v/>
      </c>
      <c r="F31" s="7">
        <f>IFERROR(VLOOKUP(B31,'Carbon Factors'!$A$5:$F$16,3,FALSE),"")</f>
        <v/>
      </c>
      <c r="G31" s="7">
        <f>IFERROR(IF(D31="m3",C31*F31,C31)*(1+E31),"")</f>
        <v/>
      </c>
      <c r="H31" s="7">
        <f>IFERROR(VLOOKUP(B31,'Carbon Factors'!$A$5:$F$16,4,FALSE),"")</f>
        <v/>
      </c>
      <c r="I31" s="7">
        <f>IFERROR(G31*H31,"")</f>
        <v/>
      </c>
      <c r="J31" s="7">
        <f>IFERROR((G31/1000)*$C$5*$C$6,"")</f>
        <v/>
      </c>
      <c r="K31" s="7">
        <f>IFERROR((I31+J31)*$C$7,"")</f>
        <v/>
      </c>
      <c r="L31" s="7">
        <f>IFERROR(I31+J31+K31,"")</f>
        <v/>
      </c>
      <c r="M31" s="7">
        <f>IFERROR(L31/1000,"")</f>
        <v/>
      </c>
    </row>
    <row r="32" ht="30" customHeight="1">
      <c r="A32" s="7" t="n"/>
      <c r="B32" s="7" t="n"/>
      <c r="C32" s="7" t="n"/>
      <c r="D32" s="7" t="n"/>
      <c r="E32" s="7">
        <f>IFERROR(VLOOKUP(B32,'Carbon Factors'!$A$5:$F$16,5,FALSE),"")</f>
        <v/>
      </c>
      <c r="F32" s="7">
        <f>IFERROR(VLOOKUP(B32,'Carbon Factors'!$A$5:$F$16,3,FALSE),"")</f>
        <v/>
      </c>
      <c r="G32" s="7">
        <f>IFERROR(IF(D32="m3",C32*F32,C32)*(1+E32),"")</f>
        <v/>
      </c>
      <c r="H32" s="7">
        <f>IFERROR(VLOOKUP(B32,'Carbon Factors'!$A$5:$F$16,4,FALSE),"")</f>
        <v/>
      </c>
      <c r="I32" s="7">
        <f>IFERROR(G32*H32,"")</f>
        <v/>
      </c>
      <c r="J32" s="7">
        <f>IFERROR((G32/1000)*$C$5*$C$6,"")</f>
        <v/>
      </c>
      <c r="K32" s="7">
        <f>IFERROR((I32+J32)*$C$7,"")</f>
        <v/>
      </c>
      <c r="L32" s="7">
        <f>IFERROR(I32+J32+K32,"")</f>
        <v/>
      </c>
      <c r="M32" s="7">
        <f>IFERROR(L32/1000,"")</f>
        <v/>
      </c>
    </row>
    <row r="33" ht="30" customHeight="1">
      <c r="A33" s="7" t="n"/>
      <c r="B33" s="7" t="n"/>
      <c r="C33" s="7" t="n"/>
      <c r="D33" s="7" t="n"/>
      <c r="E33" s="7">
        <f>IFERROR(VLOOKUP(B33,'Carbon Factors'!$A$5:$F$16,5,FALSE),"")</f>
        <v/>
      </c>
      <c r="F33" s="7">
        <f>IFERROR(VLOOKUP(B33,'Carbon Factors'!$A$5:$F$16,3,FALSE),"")</f>
        <v/>
      </c>
      <c r="G33" s="7">
        <f>IFERROR(IF(D33="m3",C33*F33,C33)*(1+E33),"")</f>
        <v/>
      </c>
      <c r="H33" s="7">
        <f>IFERROR(VLOOKUP(B33,'Carbon Factors'!$A$5:$F$16,4,FALSE),"")</f>
        <v/>
      </c>
      <c r="I33" s="7">
        <f>IFERROR(G33*H33,"")</f>
        <v/>
      </c>
      <c r="J33" s="7">
        <f>IFERROR((G33/1000)*$C$5*$C$6,"")</f>
        <v/>
      </c>
      <c r="K33" s="7">
        <f>IFERROR((I33+J33)*$C$7,"")</f>
        <v/>
      </c>
      <c r="L33" s="7">
        <f>IFERROR(I33+J33+K33,"")</f>
        <v/>
      </c>
      <c r="M33" s="7">
        <f>IFERROR(L33/1000,"")</f>
        <v/>
      </c>
    </row>
    <row r="34" ht="30" customHeight="1">
      <c r="A34" s="7" t="n"/>
      <c r="B34" s="7" t="n"/>
      <c r="C34" s="7" t="n"/>
      <c r="D34" s="7" t="n"/>
      <c r="E34" s="7">
        <f>IFERROR(VLOOKUP(B34,'Carbon Factors'!$A$5:$F$16,5,FALSE),"")</f>
        <v/>
      </c>
      <c r="F34" s="7">
        <f>IFERROR(VLOOKUP(B34,'Carbon Factors'!$A$5:$F$16,3,FALSE),"")</f>
        <v/>
      </c>
      <c r="G34" s="7">
        <f>IFERROR(IF(D34="m3",C34*F34,C34)*(1+E34),"")</f>
        <v/>
      </c>
      <c r="H34" s="7">
        <f>IFERROR(VLOOKUP(B34,'Carbon Factors'!$A$5:$F$16,4,FALSE),"")</f>
        <v/>
      </c>
      <c r="I34" s="7">
        <f>IFERROR(G34*H34,"")</f>
        <v/>
      </c>
      <c r="J34" s="7">
        <f>IFERROR((G34/1000)*$C$5*$C$6,"")</f>
        <v/>
      </c>
      <c r="K34" s="7">
        <f>IFERROR((I34+J34)*$C$7,"")</f>
        <v/>
      </c>
      <c r="L34" s="7">
        <f>IFERROR(I34+J34+K34,"")</f>
        <v/>
      </c>
      <c r="M34" s="7">
        <f>IFERROR(L34/1000,"")</f>
        <v/>
      </c>
    </row>
    <row r="35">
      <c r="A35" s="14" t="inlineStr">
        <is>
          <t>TOTAL (A1-A5 embodied carbon)</t>
        </is>
      </c>
      <c r="B35" s="15" t="n"/>
      <c r="C35" s="15" t="n"/>
      <c r="D35" s="15" t="n"/>
      <c r="E35" s="15" t="n"/>
      <c r="F35" s="15" t="n"/>
      <c r="G35" s="15" t="n"/>
      <c r="H35" s="15" t="n"/>
      <c r="I35" s="15" t="n"/>
      <c r="J35" s="15" t="n"/>
      <c r="K35" s="15" t="n"/>
      <c r="L35" s="14">
        <f>SUM(L12:L34)</f>
        <v/>
      </c>
      <c r="M35" s="14">
        <f>SUM(M12:M34)</f>
        <v/>
      </c>
    </row>
    <row r="37">
      <c r="A37" s="16" t="inlineStr">
        <is>
          <t>COMPARISON (not included in total): same reinforcement mass, virgin steel instead of UK-average recycled</t>
        </is>
      </c>
    </row>
    <row r="38" ht="32" customHeight="1">
      <c r="A38" s="5" t="inlineStr">
        <is>
          <t>Element</t>
        </is>
      </c>
      <c r="B38" s="5" t="inlineStr">
        <is>
          <t>Material</t>
        </is>
      </c>
      <c r="C38" s="5" t="inlineStr">
        <is>
          <t>Quantity</t>
        </is>
      </c>
      <c r="D38" s="5" t="inlineStr">
        <is>
          <t>Unit</t>
        </is>
      </c>
      <c r="E38" s="5" t="inlineStr">
        <is>
          <t>Waste %</t>
        </is>
      </c>
      <c r="F38" s="5" t="inlineStr">
        <is>
          <t>Density (kg/m3)</t>
        </is>
      </c>
      <c r="G38" s="5" t="inlineStr">
        <is>
          <t>Mass incl. waste (kg)</t>
        </is>
      </c>
      <c r="H38" s="5" t="inlineStr">
        <is>
          <t>A1-A3 Factor (kgCO2e/kg)</t>
        </is>
      </c>
      <c r="I38" s="5" t="inlineStr">
        <is>
          <t>A1-A3 Carbon (kgCO2e)</t>
        </is>
      </c>
      <c r="J38" s="5" t="inlineStr">
        <is>
          <t>A4 Transport (kgCO2e)</t>
        </is>
      </c>
      <c r="K38" s="5" t="inlineStr">
        <is>
          <t>A5 Construction (kgCO2e)</t>
        </is>
      </c>
      <c r="L38" s="5" t="inlineStr">
        <is>
          <t>Total Carbon (kgCO2e)</t>
        </is>
      </c>
      <c r="M38" s="5" t="inlineStr">
        <is>
          <t>Total Carbon (tCO2e)</t>
        </is>
      </c>
    </row>
    <row r="39" ht="30" customHeight="1">
      <c r="A39" s="17" t="inlineStr">
        <is>
          <t>Reinforcement (foundation + slab) - IF VIRGIN STEEL</t>
        </is>
      </c>
      <c r="B39" s="17" t="inlineStr">
        <is>
          <t>Reinforcement steel bar (rebar) - virgin (0% recycled)</t>
        </is>
      </c>
      <c r="C39" s="18">
        <f>C14</f>
        <v/>
      </c>
      <c r="D39" s="18" t="inlineStr">
        <is>
          <t>kg</t>
        </is>
      </c>
      <c r="E39" s="18">
        <f>IFERROR(VLOOKUP(B39,'Carbon Factors'!$A$5:$F$16,5,FALSE),"")</f>
        <v/>
      </c>
      <c r="F39" s="18">
        <f>IFERROR(VLOOKUP(B39,'Carbon Factors'!$A$5:$F$16,3,FALSE),"")</f>
        <v/>
      </c>
      <c r="G39" s="18">
        <f>IFERROR(IF(D39="m3",C39*F39,C39)*(1+E39),"")</f>
        <v/>
      </c>
      <c r="H39" s="18">
        <f>IFERROR(VLOOKUP(B39,'Carbon Factors'!$A$5:$F$16,4,FALSE),"")</f>
        <v/>
      </c>
      <c r="I39" s="18">
        <f>IFERROR(G39*H39,"")</f>
        <v/>
      </c>
      <c r="J39" s="18">
        <f>IFERROR((G39/1000)*$C$5*$C$6,"")</f>
        <v/>
      </c>
      <c r="K39" s="18">
        <f>IFERROR((I39+J39)*$C$7,"")</f>
        <v/>
      </c>
      <c r="L39" s="18">
        <f>IFERROR(I39+J39+K39,"")</f>
        <v/>
      </c>
      <c r="M39" s="18">
        <f>IFERROR(L39/1000,"")</f>
        <v/>
      </c>
    </row>
    <row r="40">
      <c r="A40" s="19" t="inlineStr">
        <is>
          <t>Difference vs. UK-average recycled steel (same mass)</t>
        </is>
      </c>
      <c r="L40" s="19">
        <f>L39-L14</f>
        <v/>
      </c>
      <c r="M40" s="19">
        <f>M39-M14</f>
        <v/>
      </c>
    </row>
  </sheetData>
  <dataValidations count="2">
    <dataValidation sqref="B12:B34" showDropDown="0" showInputMessage="0" showErrorMessage="0" allowBlank="1" errorTitle="Unknown material" error="Pick a material from the Carbon Factors tab so it matches exactly." type="list">
      <formula1>='Carbon Factors'!$A$5:$A$16</formula1>
    </dataValidation>
    <dataValidation sqref="D12:D34" showDropDown="0" showInputMessage="0" showErrorMessage="0" allowBlank="1" type="list">
      <formula1>"m3,kg"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6" customWidth="1" min="1" max="1"/>
    <col width="16" customWidth="1" min="2" max="2"/>
  </cols>
  <sheetData>
    <row r="1">
      <c r="A1" s="1" t="inlineStr">
        <is>
          <t>Summary</t>
        </is>
      </c>
    </row>
    <row r="2">
      <c r="A2" s="2" t="inlineStr">
        <is>
          <t>Total result and breakdown by building element (worked example)</t>
        </is>
      </c>
    </row>
    <row r="4">
      <c r="A4" s="16" t="inlineStr">
        <is>
          <t>Total embodied carbon (A1-A5)</t>
        </is>
      </c>
      <c r="B4" s="20">
        <f>Calculator!M35</f>
        <v/>
      </c>
    </row>
    <row r="5">
      <c r="A5" s="12" t="inlineStr">
        <is>
          <t>tCO2e</t>
        </is>
      </c>
    </row>
    <row r="7">
      <c r="A7" s="21" t="inlineStr">
        <is>
          <t>If reinforcement had used virgin steel instead of UK-average recycled steel:</t>
        </is>
      </c>
      <c r="B7" s="22">
        <f>Calculator!M35+Calculator!M40</f>
        <v/>
      </c>
    </row>
    <row r="8">
      <c r="A8" s="13" t="inlineStr">
        <is>
          <t>tCO2e total (the extra carbon from that one sourcing choice is broken out in the 'Difference' row on the Calculator tab)</t>
        </is>
      </c>
    </row>
    <row r="11">
      <c r="A11" s="23" t="inlineStr">
        <is>
          <t>Element</t>
        </is>
      </c>
      <c r="B11" s="23" t="inlineStr">
        <is>
          <t>Embodied Carbon (tCO2e)</t>
        </is>
      </c>
    </row>
    <row r="12">
      <c r="A12">
        <f>Calculator!A12</f>
        <v/>
      </c>
      <c r="B12">
        <f>Calculator!M12</f>
        <v/>
      </c>
    </row>
    <row r="13">
      <c r="A13">
        <f>Calculator!A13</f>
        <v/>
      </c>
      <c r="B13">
        <f>Calculator!M13</f>
        <v/>
      </c>
    </row>
    <row r="14">
      <c r="A14">
        <f>Calculator!A14</f>
        <v/>
      </c>
      <c r="B14">
        <f>Calculator!M14</f>
        <v/>
      </c>
    </row>
    <row r="15">
      <c r="A15">
        <f>Calculator!A15</f>
        <v/>
      </c>
      <c r="B15">
        <f>Calculator!M15</f>
        <v/>
      </c>
    </row>
    <row r="16">
      <c r="A16">
        <f>Calculator!A16</f>
        <v/>
      </c>
      <c r="B16">
        <f>Calculator!M16</f>
        <v/>
      </c>
    </row>
    <row r="17">
      <c r="A17">
        <f>Calculator!A17</f>
        <v/>
      </c>
      <c r="B17">
        <f>Calculator!M17</f>
        <v/>
      </c>
    </row>
    <row r="18">
      <c r="A18">
        <f>Calculator!A18</f>
        <v/>
      </c>
      <c r="B18">
        <f>Calculator!M18</f>
        <v/>
      </c>
    </row>
    <row r="19">
      <c r="A19">
        <f>Calculator!A19</f>
        <v/>
      </c>
      <c r="B19">
        <f>Calculator!M19</f>
        <v/>
      </c>
    </row>
    <row r="20">
      <c r="A20" s="13" t="inlineStr">
        <is>
          <t>(Chart covers the worked example rows only - extend the data range in Excel's 'Select Data' if you add rows for a new project.)</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2026-09-14T14:20:19Z</dcterms:created>
  <dcterms:modified xmlns:dcterms="http://purl.org/dc/terms/" xmlns:xsi="http://www.w3.org/2001/XMLSchema-instance" xsi:type="dcterms:W3CDTF">2026-09-14T14:20:19Z</dcterms:modified>
</cp:coreProperties>
</file>